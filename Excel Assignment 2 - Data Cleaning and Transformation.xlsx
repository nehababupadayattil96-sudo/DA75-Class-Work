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nehab\Downloads\"/>
    </mc:Choice>
  </mc:AlternateContent>
  <xr:revisionPtr revIDLastSave="0" documentId="13_ncr:1_{5000EDFE-365F-4346-B4A0-7A1CF97E9F8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structions" sheetId="1" r:id="rId1"/>
    <sheet name="Dataset" sheetId="2" r:id="rId2"/>
    <sheet name="Sheet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rIR6213FxEpgZ/k1UDjxyMHI45/G9Bc960XOAAH4UN4="/>
    </ext>
  </extLst>
</workbook>
</file>

<file path=xl/calcChain.xml><?xml version="1.0" encoding="utf-8"?>
<calcChain xmlns="http://schemas.openxmlformats.org/spreadsheetml/2006/main">
  <c r="Q3" i="2" l="1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2" i="2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P41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G23" i="2"/>
  <c r="G24" i="2"/>
  <c r="G25" i="2"/>
  <c r="G26" i="2"/>
  <c r="G28" i="2"/>
  <c r="G29" i="2"/>
  <c r="G30" i="2"/>
  <c r="G31" i="2"/>
  <c r="G32" i="2"/>
  <c r="G33" i="2"/>
  <c r="G34" i="2"/>
  <c r="G35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" i="2"/>
  <c r="D41" i="2"/>
  <c r="J2" i="2"/>
  <c r="H2" i="2"/>
  <c r="K2" i="2"/>
</calcChain>
</file>

<file path=xl/sharedStrings.xml><?xml version="1.0" encoding="utf-8"?>
<sst xmlns="http://schemas.openxmlformats.org/spreadsheetml/2006/main" count="264" uniqueCount="125">
  <si>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</si>
  <si>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</si>
  <si>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</si>
  <si>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</si>
  <si>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</si>
  <si>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</si>
  <si>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</si>
  <si>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</si>
  <si>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</si>
  <si>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</si>
  <si>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</si>
  <si>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</si>
  <si>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</si>
  <si>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</si>
  <si>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</si>
  <si>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</si>
  <si>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</si>
  <si>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</si>
  <si>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</si>
  <si>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</si>
  <si>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</si>
  <si>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</si>
  <si>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</si>
  <si>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</si>
  <si>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</si>
  <si>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</si>
  <si>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</si>
  <si>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</si>
  <si>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</si>
  <si>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</si>
  <si>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</si>
  <si>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</si>
  <si>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</si>
  <si>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</si>
  <si>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</si>
  <si>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</si>
  <si>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</si>
  <si>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</si>
  <si>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</si>
  <si>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</si>
  <si>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</si>
  <si>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</si>
  <si>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</si>
  <si>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</si>
  <si>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</si>
  <si>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</si>
  <si>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</si>
  <si>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</si>
  <si>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</si>
  <si>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</si>
  <si>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</si>
  <si>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</si>
  <si>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</si>
  <si>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</si>
  <si>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</si>
  <si>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</si>
  <si>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</si>
  <si>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</si>
  <si>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</si>
  <si>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</si>
  <si>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</si>
  <si>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</si>
  <si>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</si>
  <si>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</si>
  <si>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</si>
  <si>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</si>
  <si>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</si>
  <si>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</si>
  <si>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</si>
  <si>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</si>
  <si>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</si>
  <si>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</si>
  <si>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</si>
  <si>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</si>
  <si>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</si>
  <si>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</si>
  <si>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</si>
  <si>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</si>
  <si>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</si>
  <si>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</si>
  <si>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</si>
  <si>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</si>
  <si>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</si>
  <si>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</si>
  <si>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</si>
  <si>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</si>
  <si>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</si>
  <si>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</si>
  <si>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</si>
  <si>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</si>
  <si>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</si>
  <si>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</si>
  <si>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</si>
  <si>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</si>
  <si>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</si>
  <si>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</si>
  <si>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</si>
  <si>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</si>
  <si>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</si>
  <si>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</si>
  <si>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</si>
  <si>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</si>
  <si>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</si>
  <si>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</si>
  <si>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</si>
  <si>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</si>
  <si>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</si>
  <si>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</si>
  <si>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</si>
  <si>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</si>
  <si>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</si>
  <si>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</si>
  <si>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</si>
  <si>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</si>
  <si>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</si>
  <si>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</si>
  <si>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Missing Values</t>
  </si>
  <si>
    <t>Missing Categories</t>
  </si>
  <si>
    <t>Inconsistent text formats present in the "Product Name"</t>
  </si>
  <si>
    <t>Misspellings in the "Category" column</t>
  </si>
  <si>
    <t>Duplicate Rows</t>
  </si>
  <si>
    <t>Manufacturing Date</t>
  </si>
  <si>
    <t>Country Code</t>
  </si>
  <si>
    <t>Product Brand</t>
  </si>
  <si>
    <t>DD-MM-YYYY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</si>
</sst>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C09]#,##0.00"/>
  </numFmts>
  <fonts count="11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Times New Roman"/>
    </font>
    <font>
      <b/>
      <sz val="10"/>
      <color theme="1"/>
      <name val="Arial"/>
    </font>
    <font>
      <sz val="12"/>
      <color theme="1"/>
      <name val="Times New Roman"/>
      <family val="1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rgb="FFE0F7FA"/>
      </patternFill>
    </fill>
    <fill>
      <patternFill patternType="solid">
        <fgColor theme="7"/>
        <bgColor rgb="FF4DD0E1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 applyAlignment="1">
      <alignment horizontal="center"/>
    </xf>
    <xf numFmtId="0" fontId="5" fillId="3" borderId="0" xfId="0" applyFont="1" applyFill="1"/>
    <xf numFmtId="0" fontId="0" fillId="4" borderId="0" xfId="0" applyFill="1"/>
    <xf numFmtId="0" fontId="0" fillId="4" borderId="1" xfId="0" applyFill="1" applyBorder="1"/>
    <xf numFmtId="0" fontId="0" fillId="5" borderId="1" xfId="0" applyFill="1" applyBorder="1" applyAlignment="1">
      <alignment horizontal="center"/>
    </xf>
    <xf numFmtId="0" fontId="0" fillId="5" borderId="1" xfId="0" applyFill="1" applyBorder="1"/>
    <xf numFmtId="0" fontId="0" fillId="4" borderId="1" xfId="0" applyFill="1" applyBorder="1" applyAlignment="1">
      <alignment horizontal="center"/>
    </xf>
    <xf numFmtId="14" fontId="0" fillId="0" borderId="0" xfId="0" applyNumberFormat="1"/>
    <xf numFmtId="0" fontId="7" fillId="7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14" fontId="0" fillId="5" borderId="1" xfId="0" applyNumberForma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164" fontId="5" fillId="5" borderId="1" xfId="0" applyNumberFormat="1" applyFont="1" applyFill="1" applyBorder="1" applyAlignment="1">
      <alignment horizontal="center"/>
    </xf>
    <xf numFmtId="164" fontId="5" fillId="6" borderId="1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/>
    <xf numFmtId="14" fontId="5" fillId="5" borderId="1" xfId="0" applyNumberFormat="1" applyFont="1" applyFill="1" applyBorder="1"/>
    <xf numFmtId="14" fontId="9" fillId="4" borderId="0" xfId="0" applyNumberFormat="1" applyFont="1" applyFill="1"/>
    <xf numFmtId="0" fontId="10" fillId="0" borderId="0" xfId="0" applyFont="1"/>
  </cellXfs>
  <cellStyles count="1">
    <cellStyle name="Normal" xfId="0" builtinId="0"/>
  </cellStyles>
  <dxfs count="2">
    <dxf>
      <font>
        <b/>
        <i val="0"/>
        <color theme="6" tint="0.39994506668294322"/>
      </font>
    </dxf>
    <dxf>
      <font>
        <b/>
        <i val="0"/>
        <color rgb="FFCC66FF"/>
      </font>
    </dxf>
  </dxfs>
  <tableStyles count="0" defaultTableStyle="TableStyleMedium2" defaultPivotStyle="PivotStyleLight16"/>
  <colors>
    <mruColors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topLeftCell="A7" zoomScale="85" zoomScaleNormal="85" workbookViewId="0">
      <selection activeCell="J21" sqref="J21"/>
    </sheetView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11" ht="15.75" customHeight="1" x14ac:dyDescent="0.25">
      <c r="A1" s="1" t="s">
        <v>0</v>
      </c>
    </row>
    <row r="2" spans="1:11" ht="15.75" customHeight="1" x14ac:dyDescent="0.25"/>
    <row r="3" spans="1:11" ht="15.75" customHeight="1" x14ac:dyDescent="0.3">
      <c r="B3" s="2" t="s">
        <v>1</v>
      </c>
    </row>
    <row r="4" spans="1:11" ht="15.75" customHeight="1" x14ac:dyDescent="0.3">
      <c r="C4" s="3" t="s">
        <v>2</v>
      </c>
    </row>
    <row r="5" spans="1:11" ht="15.75" customHeight="1" x14ac:dyDescent="0.3">
      <c r="B5" s="4"/>
      <c r="C5" s="3" t="s">
        <v>3</v>
      </c>
    </row>
    <row r="6" spans="1:11" ht="15.75" customHeight="1" x14ac:dyDescent="0.3">
      <c r="B6" s="4"/>
    </row>
    <row r="7" spans="1:11" ht="15.75" customHeight="1" x14ac:dyDescent="0.3">
      <c r="B7" s="2" t="s">
        <v>4</v>
      </c>
    </row>
    <row r="8" spans="1:11" ht="15.75" customHeight="1" x14ac:dyDescent="0.3">
      <c r="C8" s="3" t="s">
        <v>5</v>
      </c>
    </row>
    <row r="9" spans="1:11" ht="15.75" customHeight="1" x14ac:dyDescent="0.3">
      <c r="C9" s="3" t="s">
        <v>6</v>
      </c>
    </row>
    <row r="10" spans="1:11" ht="15.75" customHeight="1" x14ac:dyDescent="0.3">
      <c r="C10" s="3" t="s">
        <v>7</v>
      </c>
    </row>
    <row r="11" spans="1:11" ht="15.75" customHeight="1" x14ac:dyDescent="0.3">
      <c r="B11" s="4"/>
    </row>
    <row r="12" spans="1:11" ht="15.75" customHeight="1" x14ac:dyDescent="0.3">
      <c r="B12" s="2" t="s">
        <v>8</v>
      </c>
    </row>
    <row r="13" spans="1:11" ht="15.75" customHeight="1" x14ac:dyDescent="0.3">
      <c r="B13" s="2"/>
      <c r="C13" s="3" t="s">
        <v>9</v>
      </c>
    </row>
    <row r="14" spans="1:11" ht="15.75" customHeight="1" x14ac:dyDescent="0.25"/>
    <row r="15" spans="1:11" ht="15.75" customHeight="1" x14ac:dyDescent="0.3">
      <c r="B15" s="2" t="s">
        <v>10</v>
      </c>
      <c r="C15" s="5"/>
      <c r="D15" s="5"/>
      <c r="E15" s="5"/>
      <c r="F15" s="5"/>
      <c r="G15" s="5"/>
      <c r="H15" s="5"/>
      <c r="I15" s="5"/>
      <c r="J15" s="5"/>
      <c r="K15" s="5"/>
    </row>
    <row r="16" spans="1:11" ht="15.75" customHeight="1" x14ac:dyDescent="0.3">
      <c r="B16" s="5"/>
      <c r="C16" s="3" t="s">
        <v>11</v>
      </c>
      <c r="D16" s="5"/>
      <c r="E16" s="5"/>
      <c r="F16" s="5"/>
      <c r="G16" s="5"/>
      <c r="H16" s="5"/>
      <c r="I16" s="5"/>
      <c r="J16" s="5"/>
      <c r="K16" s="5"/>
    </row>
    <row r="17" spans="2:11" ht="15.75" customHeight="1" x14ac:dyDescent="0.3">
      <c r="B17" s="5"/>
      <c r="C17" s="3" t="s">
        <v>12</v>
      </c>
      <c r="D17" s="5"/>
      <c r="E17" s="5"/>
      <c r="F17" s="5"/>
      <c r="G17" s="5"/>
      <c r="H17" s="5"/>
      <c r="I17" s="5"/>
      <c r="J17" s="5"/>
      <c r="K17" s="5"/>
    </row>
    <row r="18" spans="2:11" ht="15.75" customHeight="1" x14ac:dyDescent="0.25"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2:11" ht="15.75" customHeight="1" x14ac:dyDescent="0.3">
      <c r="B19" s="2" t="s">
        <v>13</v>
      </c>
      <c r="C19" s="5"/>
      <c r="D19" s="5"/>
      <c r="E19" s="5"/>
      <c r="F19" s="5"/>
      <c r="G19" s="5"/>
      <c r="H19" s="5"/>
      <c r="I19" s="5"/>
      <c r="J19" s="5"/>
      <c r="K19" s="5"/>
    </row>
    <row r="20" spans="2:11" ht="15.75" customHeight="1" x14ac:dyDescent="0.3">
      <c r="B20" s="5"/>
      <c r="C20" s="3" t="s">
        <v>14</v>
      </c>
      <c r="D20" s="5"/>
      <c r="E20" s="5"/>
      <c r="F20" s="5"/>
      <c r="G20" s="5"/>
      <c r="H20" s="5"/>
      <c r="I20" s="5"/>
      <c r="J20" s="5"/>
      <c r="K20" s="5"/>
    </row>
    <row r="21" spans="2:11" ht="15.75" customHeight="1" x14ac:dyDescent="0.3">
      <c r="B21" s="5"/>
      <c r="C21" s="23" t="s">
        <v>15</v>
      </c>
      <c r="D21" s="5"/>
      <c r="E21" s="5"/>
      <c r="F21" s="5"/>
      <c r="G21" s="5"/>
      <c r="H21" s="5"/>
      <c r="I21" s="5"/>
      <c r="J21" s="5"/>
      <c r="K21" s="5"/>
    </row>
    <row r="22" spans="2:11" ht="15.75" customHeight="1" x14ac:dyDescent="0.25"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2:11" ht="15.75" customHeight="1" x14ac:dyDescent="0.3">
      <c r="B23" s="2" t="s">
        <v>16</v>
      </c>
      <c r="C23" s="5"/>
      <c r="D23" s="5"/>
      <c r="E23" s="5"/>
      <c r="F23" s="5"/>
      <c r="G23" s="5"/>
      <c r="H23" s="5"/>
      <c r="I23" s="5"/>
      <c r="J23" s="5"/>
      <c r="K23" s="5"/>
    </row>
    <row r="24" spans="2:11" ht="15.75" customHeight="1" x14ac:dyDescent="0.3">
      <c r="B24" s="5"/>
      <c r="C24" s="3" t="s">
        <v>17</v>
      </c>
      <c r="D24" s="5"/>
      <c r="E24" s="5"/>
      <c r="F24" s="5"/>
      <c r="G24" s="5"/>
      <c r="H24" s="5"/>
      <c r="I24" s="5"/>
      <c r="J24" s="5"/>
      <c r="K24" s="5"/>
    </row>
    <row r="25" spans="2:11" ht="15.75" customHeight="1" x14ac:dyDescent="0.3">
      <c r="B25" s="5"/>
      <c r="C25" s="3" t="s">
        <v>18</v>
      </c>
      <c r="D25" s="5"/>
      <c r="E25" s="5"/>
      <c r="F25" s="5"/>
      <c r="G25" s="5"/>
      <c r="H25" s="5"/>
      <c r="I25" s="5"/>
      <c r="J25" s="5"/>
      <c r="K25" s="5"/>
    </row>
    <row r="26" spans="2:11" ht="15.75" customHeight="1" x14ac:dyDescent="0.3">
      <c r="B26" s="5"/>
      <c r="C26" s="3"/>
      <c r="D26" s="5"/>
      <c r="E26" s="5"/>
      <c r="F26" s="5"/>
      <c r="G26" s="5"/>
      <c r="H26" s="5"/>
      <c r="I26" s="5"/>
      <c r="J26" s="5"/>
      <c r="K26" s="5"/>
    </row>
    <row r="27" spans="2:11" ht="15.75" customHeight="1" x14ac:dyDescent="0.25">
      <c r="B27" s="5"/>
      <c r="C27" s="5"/>
      <c r="D27" s="6"/>
      <c r="E27" s="5"/>
      <c r="F27" s="5"/>
      <c r="G27" s="5"/>
      <c r="H27" s="5"/>
      <c r="I27" s="5"/>
      <c r="J27" s="5"/>
      <c r="K27" s="5"/>
    </row>
    <row r="28" spans="2:11" ht="15.75" customHeight="1" x14ac:dyDescent="0.25"/>
    <row r="29" spans="2:11" ht="15.75" customHeight="1" x14ac:dyDescent="0.25"/>
    <row r="30" spans="2:11" ht="15.75" customHeight="1" x14ac:dyDescent="0.25"/>
    <row r="31" spans="2:11" ht="15.75" customHeight="1" x14ac:dyDescent="0.25"/>
    <row r="32" spans="2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R1000"/>
  <sheetViews>
    <sheetView tabSelected="1" topLeftCell="H1" zoomScale="70" zoomScaleNormal="70" workbookViewId="0">
      <selection activeCell="S20" sqref="S20"/>
    </sheetView>
  </sheetViews>
  <sheetFormatPr defaultColWidth="12.6640625" defaultRowHeight="15" customHeight="1" x14ac:dyDescent="0.25"/>
  <cols>
    <col min="1" max="1" width="12.6640625" customWidth="1"/>
    <col min="2" max="2" width="14.6640625" bestFit="1" customWidth="1"/>
    <col min="3" max="3" width="23.77734375" bestFit="1" customWidth="1"/>
    <col min="4" max="6" width="12.6640625" customWidth="1"/>
    <col min="7" max="7" width="15" customWidth="1"/>
    <col min="8" max="8" width="16.5546875" bestFit="1" customWidth="1"/>
    <col min="9" max="9" width="46.44140625" bestFit="1" customWidth="1"/>
    <col min="10" max="10" width="34.6640625" bestFit="1" customWidth="1"/>
    <col min="11" max="11" width="38.6640625" customWidth="1"/>
    <col min="12" max="12" width="15.88671875" customWidth="1"/>
    <col min="13" max="14" width="27.21875" style="22" customWidth="1"/>
    <col min="15" max="15" width="26.77734375" style="22" customWidth="1"/>
    <col min="16" max="16" width="16.5546875" style="22" customWidth="1"/>
    <col min="17" max="17" width="12.6640625" style="14" customWidth="1"/>
  </cols>
  <sheetData>
    <row r="1" spans="1:18" ht="15.75" customHeight="1" x14ac:dyDescent="0.25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  <c r="G1" s="10" t="s">
        <v>116</v>
      </c>
      <c r="H1" s="10" t="s">
        <v>117</v>
      </c>
      <c r="I1" s="10" t="s">
        <v>118</v>
      </c>
      <c r="J1" s="9" t="s">
        <v>119</v>
      </c>
      <c r="K1" s="13" t="s">
        <v>120</v>
      </c>
      <c r="L1" s="7" t="s">
        <v>19</v>
      </c>
      <c r="M1" s="13" t="s">
        <v>121</v>
      </c>
      <c r="N1" s="16" t="s">
        <v>122</v>
      </c>
      <c r="O1" s="15" t="s">
        <v>123</v>
      </c>
      <c r="P1" s="15" t="s">
        <v>22</v>
      </c>
      <c r="Q1" s="25" t="s">
        <v>124</v>
      </c>
      <c r="R1" s="7" t="s">
        <v>24</v>
      </c>
    </row>
    <row r="2" spans="1:18" ht="15.75" customHeight="1" x14ac:dyDescent="0.25">
      <c r="A2" s="5" t="s">
        <v>25</v>
      </c>
      <c r="B2" s="5" t="s">
        <v>26</v>
      </c>
      <c r="C2" s="5" t="s">
        <v>27</v>
      </c>
      <c r="D2" s="5">
        <v>1000</v>
      </c>
      <c r="E2" s="5">
        <v>30</v>
      </c>
      <c r="F2" s="5" t="s">
        <v>28</v>
      </c>
      <c r="G2" s="11" t="str">
        <f>IF(D2="","Missing Price","")</f>
        <v/>
      </c>
      <c r="H2" s="11" t="str">
        <f>IF(F2="","Missing Category","")</f>
        <v/>
      </c>
      <c r="I2" s="11" t="str">
        <f>PROPER(B2)</f>
        <v>Laptop</v>
      </c>
      <c r="J2" s="11" t="str">
        <f>IF(F2="Electroni","Electronics",F2)</f>
        <v>Electronics</v>
      </c>
      <c r="K2" s="11" t="str">
        <f t="shared" ref="K2:K35" si="0">IF(COUNTIFS(A:A,A2,B:B,B2,C:C,C2,D:D,D2,E:E,E2,F:F,F2)&gt;1,"Duplicate","Unique")</f>
        <v>Unique</v>
      </c>
      <c r="L2" s="5" t="s">
        <v>25</v>
      </c>
      <c r="M2" s="17" t="str">
        <f t="shared" ref="M2:M35" si="1">LEFT(A2,2)&amp;"-"&amp;MID(A2,4,3)</f>
        <v>28-JAN</v>
      </c>
      <c r="N2" s="18" t="str">
        <f>RIGHT(A2,2)</f>
        <v>US</v>
      </c>
      <c r="O2" s="19" t="str">
        <f>C2&amp;" "&amp;B2</f>
        <v>Dell laptop</v>
      </c>
      <c r="P2" s="20">
        <v>1000</v>
      </c>
      <c r="Q2" s="24">
        <f>DATE(2026,MATCH(MID(A2,4,3),{"JAN","FEB","MAR","APR","MAY","JUN","JUL","AUG","SEP","OCT","NOV","DEC"},0),VALUE(LEFT(A2,2)))</f>
        <v>46050</v>
      </c>
      <c r="R2" s="26" t="s">
        <v>28</v>
      </c>
    </row>
    <row r="3" spans="1:18" ht="15.75" customHeight="1" x14ac:dyDescent="0.25">
      <c r="A3" s="8" t="s">
        <v>29</v>
      </c>
      <c r="B3" s="8" t="s">
        <v>30</v>
      </c>
      <c r="C3" s="8" t="s">
        <v>31</v>
      </c>
      <c r="D3" s="8">
        <v>80</v>
      </c>
      <c r="E3" s="8">
        <v>15</v>
      </c>
      <c r="F3" s="8" t="s">
        <v>32</v>
      </c>
      <c r="G3" s="11" t="str">
        <f t="shared" ref="G3:G35" si="2">IF(D3="","Missing Price","")</f>
        <v/>
      </c>
      <c r="H3" s="11" t="str">
        <f t="shared" ref="H3:H35" si="3">IF(F3="","Missing Category","")</f>
        <v/>
      </c>
      <c r="I3" s="11" t="str">
        <f t="shared" ref="I3:I35" si="4">PROPER(B3)</f>
        <v>Sneakers</v>
      </c>
      <c r="J3" s="11" t="str">
        <f t="shared" ref="J3:J35" si="5">IF(F3="Electroni","Electronics",F3)</f>
        <v>Fashion</v>
      </c>
      <c r="K3" s="11" t="str">
        <f t="shared" si="0"/>
        <v>Unique</v>
      </c>
      <c r="L3" s="8" t="s">
        <v>29</v>
      </c>
      <c r="M3" s="17" t="str">
        <f t="shared" si="1"/>
        <v>15-FEB</v>
      </c>
      <c r="N3" s="18" t="str">
        <f t="shared" ref="N3:N35" si="6">RIGHT(A3,2)</f>
        <v>US</v>
      </c>
      <c r="O3" s="19" t="str">
        <f t="shared" ref="O3:O35" si="7">C3&amp;" "&amp;B3</f>
        <v>Nike Sneakers</v>
      </c>
      <c r="P3" s="21">
        <v>80</v>
      </c>
      <c r="Q3" s="24">
        <f>DATE(2026,MATCH(MID(A3,4,3),{"JAN","FEB","MAR","APR","MAY","JUN","JUL","AUG","SEP","OCT","NOV","DEC"},0),VALUE(LEFT(A3,2)))</f>
        <v>46068</v>
      </c>
      <c r="R3" t="s">
        <v>32</v>
      </c>
    </row>
    <row r="4" spans="1:18" ht="15.75" customHeight="1" x14ac:dyDescent="0.25">
      <c r="A4" s="5" t="s">
        <v>33</v>
      </c>
      <c r="B4" s="5" t="s">
        <v>34</v>
      </c>
      <c r="C4" s="5" t="s">
        <v>35</v>
      </c>
      <c r="D4" s="5">
        <v>130</v>
      </c>
      <c r="E4" s="5">
        <v>40</v>
      </c>
      <c r="F4" s="5" t="s">
        <v>36</v>
      </c>
      <c r="G4" s="11" t="str">
        <f t="shared" si="2"/>
        <v/>
      </c>
      <c r="H4" s="11" t="str">
        <f t="shared" si="3"/>
        <v/>
      </c>
      <c r="I4" s="11" t="str">
        <f t="shared" si="4"/>
        <v>Coffee Maker</v>
      </c>
      <c r="J4" s="11" t="str">
        <f t="shared" si="5"/>
        <v>Kitchen</v>
      </c>
      <c r="K4" s="11" t="str">
        <f t="shared" si="0"/>
        <v>Unique</v>
      </c>
      <c r="L4" s="5" t="s">
        <v>33</v>
      </c>
      <c r="M4" s="17" t="str">
        <f t="shared" si="1"/>
        <v>03-MAR</v>
      </c>
      <c r="N4" s="18" t="str">
        <f t="shared" si="6"/>
        <v>US</v>
      </c>
      <c r="O4" s="19" t="str">
        <f t="shared" si="7"/>
        <v>Keurig Coffee Maker</v>
      </c>
      <c r="P4" s="20">
        <v>130</v>
      </c>
      <c r="Q4" s="24">
        <f>DATE(2026,MATCH(MID(A4,4,3),{"JAN","FEB","MAR","APR","MAY","JUN","JUL","AUG","SEP","OCT","NOV","DEC"},0),VALUE(LEFT(A4,2)))</f>
        <v>46084</v>
      </c>
      <c r="R4" t="s">
        <v>36</v>
      </c>
    </row>
    <row r="5" spans="1:18" ht="15.75" customHeight="1" x14ac:dyDescent="0.25">
      <c r="A5" s="8" t="s">
        <v>37</v>
      </c>
      <c r="B5" s="8" t="s">
        <v>38</v>
      </c>
      <c r="C5" s="8" t="s">
        <v>39</v>
      </c>
      <c r="D5" s="8">
        <v>900</v>
      </c>
      <c r="E5" s="8">
        <v>25</v>
      </c>
      <c r="F5" s="8" t="s">
        <v>28</v>
      </c>
      <c r="G5" s="11" t="str">
        <f t="shared" si="2"/>
        <v/>
      </c>
      <c r="H5" s="11" t="str">
        <f t="shared" si="3"/>
        <v/>
      </c>
      <c r="I5" s="11" t="str">
        <f t="shared" si="4"/>
        <v>Smartphone</v>
      </c>
      <c r="J5" s="11" t="str">
        <f t="shared" si="5"/>
        <v>Electronics</v>
      </c>
      <c r="K5" s="11" t="str">
        <f t="shared" si="0"/>
        <v>Unique</v>
      </c>
      <c r="L5" s="8" t="s">
        <v>37</v>
      </c>
      <c r="M5" s="17" t="str">
        <f t="shared" si="1"/>
        <v>11-APR</v>
      </c>
      <c r="N5" s="18" t="str">
        <f t="shared" si="6"/>
        <v>US</v>
      </c>
      <c r="O5" s="19" t="str">
        <f t="shared" si="7"/>
        <v>Samsung smartphone</v>
      </c>
      <c r="P5" s="21">
        <v>900</v>
      </c>
      <c r="Q5" s="24">
        <f>DATE(2026,MATCH(MID(A5,4,3),{"JAN","FEB","MAR","APR","MAY","JUN","JUL","AUG","SEP","OCT","NOV","DEC"},0),VALUE(LEFT(A5,2)))</f>
        <v>46123</v>
      </c>
      <c r="R5" t="s">
        <v>28</v>
      </c>
    </row>
    <row r="6" spans="1:18" ht="15.75" customHeight="1" x14ac:dyDescent="0.25">
      <c r="A6" s="5" t="s">
        <v>40</v>
      </c>
      <c r="B6" s="5" t="s">
        <v>41</v>
      </c>
      <c r="C6" s="5" t="s">
        <v>42</v>
      </c>
      <c r="D6" s="5">
        <v>70</v>
      </c>
      <c r="E6" s="5">
        <v>20</v>
      </c>
      <c r="F6" s="5"/>
      <c r="G6" s="11" t="str">
        <f t="shared" si="2"/>
        <v/>
      </c>
      <c r="H6" s="11" t="str">
        <f t="shared" si="3"/>
        <v>Missing Category</v>
      </c>
      <c r="I6" s="11" t="str">
        <f t="shared" si="4"/>
        <v>Backpack</v>
      </c>
      <c r="J6" s="11">
        <f t="shared" si="5"/>
        <v>0</v>
      </c>
      <c r="K6" s="11" t="str">
        <f t="shared" si="0"/>
        <v>Unique</v>
      </c>
      <c r="L6" s="5" t="s">
        <v>40</v>
      </c>
      <c r="M6" s="17" t="str">
        <f t="shared" si="1"/>
        <v>22-MAY</v>
      </c>
      <c r="N6" s="18" t="str">
        <f t="shared" si="6"/>
        <v>US</v>
      </c>
      <c r="O6" s="19" t="str">
        <f t="shared" si="7"/>
        <v>North Face Backpack</v>
      </c>
      <c r="P6" s="20">
        <v>70</v>
      </c>
      <c r="Q6" s="24">
        <f>DATE(2026,MATCH(MID(A6,4,3),{"JAN","FEB","MAR","APR","MAY","JUN","JUL","AUG","SEP","OCT","NOV","DEC"},0),VALUE(LEFT(A6,2)))</f>
        <v>46164</v>
      </c>
    </row>
    <row r="7" spans="1:18" ht="15.75" customHeight="1" x14ac:dyDescent="0.25">
      <c r="A7" s="8" t="s">
        <v>43</v>
      </c>
      <c r="B7" s="8" t="s">
        <v>44</v>
      </c>
      <c r="C7" s="8" t="s">
        <v>45</v>
      </c>
      <c r="D7" s="8"/>
      <c r="E7" s="8">
        <v>45</v>
      </c>
      <c r="F7" s="8" t="s">
        <v>46</v>
      </c>
      <c r="G7" s="11" t="str">
        <f t="shared" si="2"/>
        <v>Missing Price</v>
      </c>
      <c r="H7" s="11" t="str">
        <f t="shared" si="3"/>
        <v/>
      </c>
      <c r="I7" s="11" t="str">
        <f t="shared" si="4"/>
        <v>Headphones</v>
      </c>
      <c r="J7" s="11" t="str">
        <f t="shared" si="5"/>
        <v>Electronics</v>
      </c>
      <c r="K7" s="11" t="str">
        <f t="shared" si="0"/>
        <v>Unique</v>
      </c>
      <c r="L7" s="8" t="s">
        <v>43</v>
      </c>
      <c r="M7" s="17" t="str">
        <f t="shared" si="1"/>
        <v>07-JUN</v>
      </c>
      <c r="N7" s="18" t="str">
        <f t="shared" si="6"/>
        <v>UK</v>
      </c>
      <c r="O7" s="19" t="str">
        <f t="shared" si="7"/>
        <v>Sony Headphones</v>
      </c>
      <c r="P7" s="21"/>
      <c r="Q7" s="24">
        <f>DATE(2026,MATCH(MID(A7,4,3),{"JAN","FEB","MAR","APR","MAY","JUN","JUL","AUG","SEP","OCT","NOV","DEC"},0),VALUE(LEFT(A7,2)))</f>
        <v>46180</v>
      </c>
      <c r="R7" t="s">
        <v>28</v>
      </c>
    </row>
    <row r="8" spans="1:18" ht="15.75" customHeight="1" x14ac:dyDescent="0.25">
      <c r="A8" s="5" t="s">
        <v>47</v>
      </c>
      <c r="B8" s="5" t="s">
        <v>48</v>
      </c>
      <c r="C8" s="5" t="s">
        <v>49</v>
      </c>
      <c r="D8" s="5">
        <v>30</v>
      </c>
      <c r="E8" s="5">
        <v>5</v>
      </c>
      <c r="F8" s="5" t="s">
        <v>32</v>
      </c>
      <c r="G8" s="11" t="str">
        <f t="shared" si="2"/>
        <v/>
      </c>
      <c r="H8" s="11" t="str">
        <f t="shared" si="3"/>
        <v/>
      </c>
      <c r="I8" s="11" t="str">
        <f t="shared" si="4"/>
        <v>T-Shirt</v>
      </c>
      <c r="J8" s="11" t="str">
        <f t="shared" si="5"/>
        <v>Fashion</v>
      </c>
      <c r="K8" s="11" t="str">
        <f t="shared" si="0"/>
        <v>Unique</v>
      </c>
      <c r="L8" s="5" t="s">
        <v>47</v>
      </c>
      <c r="M8" s="17" t="str">
        <f t="shared" si="1"/>
        <v>19-JUL</v>
      </c>
      <c r="N8" s="18" t="str">
        <f t="shared" si="6"/>
        <v>UK</v>
      </c>
      <c r="O8" s="19" t="str">
        <f t="shared" si="7"/>
        <v>Adidas T-shirt</v>
      </c>
      <c r="P8" s="20">
        <v>30</v>
      </c>
      <c r="Q8" s="24">
        <f>DATE(2026,MATCH(MID(A8,4,3),{"JAN","FEB","MAR","APR","MAY","JUN","JUL","AUG","SEP","OCT","NOV","DEC"},0),VALUE(LEFT(A8,2)))</f>
        <v>46222</v>
      </c>
      <c r="R8" t="s">
        <v>32</v>
      </c>
    </row>
    <row r="9" spans="1:18" ht="15.75" customHeight="1" x14ac:dyDescent="0.25">
      <c r="A9" s="8" t="s">
        <v>50</v>
      </c>
      <c r="B9" s="8" t="s">
        <v>51</v>
      </c>
      <c r="C9" s="8" t="s">
        <v>52</v>
      </c>
      <c r="D9" s="8">
        <v>90</v>
      </c>
      <c r="E9" s="8">
        <v>35</v>
      </c>
      <c r="F9" s="8" t="s">
        <v>36</v>
      </c>
      <c r="G9" s="11" t="str">
        <f t="shared" si="2"/>
        <v/>
      </c>
      <c r="H9" s="11" t="str">
        <f t="shared" si="3"/>
        <v/>
      </c>
      <c r="I9" s="11" t="str">
        <f t="shared" si="4"/>
        <v>Blender</v>
      </c>
      <c r="J9" s="11" t="str">
        <f t="shared" si="5"/>
        <v>Kitchen</v>
      </c>
      <c r="K9" s="11" t="str">
        <f t="shared" si="0"/>
        <v>Unique</v>
      </c>
      <c r="L9" s="8" t="s">
        <v>50</v>
      </c>
      <c r="M9" s="17" t="str">
        <f t="shared" si="1"/>
        <v>23-AUG</v>
      </c>
      <c r="N9" s="18" t="str">
        <f t="shared" si="6"/>
        <v>UK</v>
      </c>
      <c r="O9" s="19" t="str">
        <f t="shared" si="7"/>
        <v>Ninja Blender</v>
      </c>
      <c r="P9" s="21">
        <v>90</v>
      </c>
      <c r="Q9" s="24">
        <f>DATE(2026,MATCH(MID(A9,4,3),{"JAN","FEB","MAR","APR","MAY","JUN","JUL","AUG","SEP","OCT","NOV","DEC"},0),VALUE(LEFT(A9,2)))</f>
        <v>46257</v>
      </c>
      <c r="R9" t="s">
        <v>36</v>
      </c>
    </row>
    <row r="10" spans="1:18" ht="15.75" customHeight="1" x14ac:dyDescent="0.25">
      <c r="A10" s="5" t="s">
        <v>53</v>
      </c>
      <c r="B10" s="5" t="s">
        <v>54</v>
      </c>
      <c r="C10" s="5" t="s">
        <v>55</v>
      </c>
      <c r="D10" s="5">
        <v>500</v>
      </c>
      <c r="E10" s="5">
        <v>50</v>
      </c>
      <c r="F10" s="5" t="s">
        <v>28</v>
      </c>
      <c r="G10" s="11" t="str">
        <f t="shared" si="2"/>
        <v/>
      </c>
      <c r="H10" s="11" t="str">
        <f t="shared" si="3"/>
        <v/>
      </c>
      <c r="I10" s="11" t="str">
        <f t="shared" si="4"/>
        <v>Tablet</v>
      </c>
      <c r="J10" s="11" t="str">
        <f t="shared" si="5"/>
        <v>Electronics</v>
      </c>
      <c r="K10" s="11" t="str">
        <f t="shared" si="0"/>
        <v>Unique</v>
      </c>
      <c r="L10" s="5" t="s">
        <v>53</v>
      </c>
      <c r="M10" s="17" t="str">
        <f t="shared" si="1"/>
        <v>05-SEP</v>
      </c>
      <c r="N10" s="18" t="str">
        <f t="shared" si="6"/>
        <v>UK</v>
      </c>
      <c r="O10" s="19" t="str">
        <f t="shared" si="7"/>
        <v>Apple Tablet</v>
      </c>
      <c r="P10" s="20">
        <v>500</v>
      </c>
      <c r="Q10" s="24">
        <f>DATE(2026,MATCH(MID(A10,4,3),{"JAN","FEB","MAR","APR","MAY","JUN","JUL","AUG","SEP","OCT","NOV","DEC"},0),VALUE(LEFT(A10,2)))</f>
        <v>46270</v>
      </c>
      <c r="R10" t="s">
        <v>28</v>
      </c>
    </row>
    <row r="11" spans="1:18" ht="15.75" customHeight="1" x14ac:dyDescent="0.25">
      <c r="A11" s="8" t="s">
        <v>56</v>
      </c>
      <c r="B11" s="8" t="s">
        <v>57</v>
      </c>
      <c r="C11" s="8" t="s">
        <v>58</v>
      </c>
      <c r="D11" s="8">
        <v>130</v>
      </c>
      <c r="E11" s="8">
        <v>10</v>
      </c>
      <c r="F11" s="8" t="s">
        <v>59</v>
      </c>
      <c r="G11" s="11" t="str">
        <f t="shared" si="2"/>
        <v/>
      </c>
      <c r="H11" s="11" t="str">
        <f t="shared" si="3"/>
        <v/>
      </c>
      <c r="I11" s="11" t="str">
        <f t="shared" si="4"/>
        <v>Hiking Boots</v>
      </c>
      <c r="J11" s="11" t="str">
        <f t="shared" si="5"/>
        <v>Outdoor</v>
      </c>
      <c r="K11" s="11" t="str">
        <f t="shared" si="0"/>
        <v>Unique</v>
      </c>
      <c r="L11" s="8" t="s">
        <v>56</v>
      </c>
      <c r="M11" s="17" t="str">
        <f t="shared" si="1"/>
        <v>14-OCT</v>
      </c>
      <c r="N11" s="18" t="str">
        <f t="shared" si="6"/>
        <v>UK</v>
      </c>
      <c r="O11" s="19" t="str">
        <f t="shared" si="7"/>
        <v>Timberland Hiking Boots</v>
      </c>
      <c r="P11" s="21">
        <v>130</v>
      </c>
      <c r="Q11" s="24">
        <f>DATE(2026,MATCH(MID(A11,4,3),{"JAN","FEB","MAR","APR","MAY","JUN","JUL","AUG","SEP","OCT","NOV","DEC"},0),VALUE(LEFT(A11,2)))</f>
        <v>46309</v>
      </c>
      <c r="R11" t="s">
        <v>59</v>
      </c>
    </row>
    <row r="12" spans="1:18" ht="15.75" customHeight="1" x14ac:dyDescent="0.25">
      <c r="A12" s="5" t="s">
        <v>60</v>
      </c>
      <c r="B12" s="5" t="s">
        <v>61</v>
      </c>
      <c r="C12" s="5" t="s">
        <v>62</v>
      </c>
      <c r="D12" s="5">
        <v>950</v>
      </c>
      <c r="E12" s="5">
        <v>25</v>
      </c>
      <c r="F12" s="5" t="s">
        <v>28</v>
      </c>
      <c r="G12" s="11" t="str">
        <f t="shared" si="2"/>
        <v/>
      </c>
      <c r="H12" s="11" t="str">
        <f t="shared" si="3"/>
        <v/>
      </c>
      <c r="I12" s="11" t="str">
        <f t="shared" si="4"/>
        <v>Laptop</v>
      </c>
      <c r="J12" s="11" t="str">
        <f t="shared" si="5"/>
        <v>Electronics</v>
      </c>
      <c r="K12" s="11" t="str">
        <f t="shared" si="0"/>
        <v>Duplicate</v>
      </c>
      <c r="L12" s="5" t="s">
        <v>60</v>
      </c>
      <c r="M12" s="17" t="str">
        <f t="shared" si="1"/>
        <v>17-JUN</v>
      </c>
      <c r="N12" s="18" t="str">
        <f t="shared" si="6"/>
        <v>IN</v>
      </c>
      <c r="O12" s="19" t="str">
        <f t="shared" si="7"/>
        <v>HP Laptop</v>
      </c>
      <c r="P12" s="20">
        <v>950</v>
      </c>
      <c r="Q12" s="24">
        <f>DATE(2026,MATCH(MID(A12,4,3),{"JAN","FEB","MAR","APR","MAY","JUN","JUL","AUG","SEP","OCT","NOV","DEC"},0),VALUE(LEFT(A12,2)))</f>
        <v>46190</v>
      </c>
      <c r="R12" t="s">
        <v>28</v>
      </c>
    </row>
    <row r="13" spans="1:18" ht="15.75" customHeight="1" x14ac:dyDescent="0.25">
      <c r="A13" s="8" t="s">
        <v>63</v>
      </c>
      <c r="B13" s="8" t="s">
        <v>30</v>
      </c>
      <c r="C13" s="8" t="s">
        <v>49</v>
      </c>
      <c r="D13" s="8">
        <v>90</v>
      </c>
      <c r="E13" s="8">
        <v>40</v>
      </c>
      <c r="F13" s="8"/>
      <c r="G13" s="11" t="str">
        <f t="shared" si="2"/>
        <v/>
      </c>
      <c r="H13" s="11" t="str">
        <f t="shared" si="3"/>
        <v>Missing Category</v>
      </c>
      <c r="I13" s="11" t="str">
        <f t="shared" si="4"/>
        <v>Sneakers</v>
      </c>
      <c r="J13" s="11">
        <f t="shared" si="5"/>
        <v>0</v>
      </c>
      <c r="K13" s="11" t="str">
        <f t="shared" si="0"/>
        <v>Unique</v>
      </c>
      <c r="L13" s="8" t="s">
        <v>63</v>
      </c>
      <c r="M13" s="17" t="str">
        <f t="shared" si="1"/>
        <v>25-NOV</v>
      </c>
      <c r="N13" s="18" t="str">
        <f t="shared" si="6"/>
        <v>AU</v>
      </c>
      <c r="O13" s="19" t="str">
        <f t="shared" si="7"/>
        <v>Adidas Sneakers</v>
      </c>
      <c r="P13" s="21">
        <v>90</v>
      </c>
      <c r="Q13" s="24">
        <f>DATE(2026,MATCH(MID(A13,4,3),{"JAN","FEB","MAR","APR","MAY","JUN","JUL","AUG","SEP","OCT","NOV","DEC"},0),VALUE(LEFT(A13,2)))</f>
        <v>46351</v>
      </c>
    </row>
    <row r="14" spans="1:18" ht="15.75" customHeight="1" x14ac:dyDescent="0.25">
      <c r="A14" s="5" t="s">
        <v>64</v>
      </c>
      <c r="B14" s="5" t="s">
        <v>34</v>
      </c>
      <c r="C14" s="5" t="s">
        <v>65</v>
      </c>
      <c r="D14" s="5">
        <v>120</v>
      </c>
      <c r="E14" s="5">
        <v>35</v>
      </c>
      <c r="F14" s="5"/>
      <c r="G14" s="11" t="str">
        <f t="shared" si="2"/>
        <v/>
      </c>
      <c r="H14" s="11" t="str">
        <f t="shared" si="3"/>
        <v>Missing Category</v>
      </c>
      <c r="I14" s="11" t="str">
        <f t="shared" si="4"/>
        <v>Coffee Maker</v>
      </c>
      <c r="J14" s="11">
        <f t="shared" si="5"/>
        <v>0</v>
      </c>
      <c r="K14" s="11" t="str">
        <f t="shared" si="0"/>
        <v>Unique</v>
      </c>
      <c r="L14" s="5" t="s">
        <v>64</v>
      </c>
      <c r="M14" s="17" t="str">
        <f t="shared" si="1"/>
        <v>08-DEC</v>
      </c>
      <c r="N14" s="18" t="str">
        <f t="shared" si="6"/>
        <v>DE</v>
      </c>
      <c r="O14" s="19" t="str">
        <f t="shared" si="7"/>
        <v>Nespresso Coffee Maker</v>
      </c>
      <c r="P14" s="20">
        <v>120</v>
      </c>
      <c r="Q14" s="24">
        <f>DATE(2026,MATCH(MID(A14,4,3),{"JAN","FEB","MAR","APR","MAY","JUN","JUL","AUG","SEP","OCT","NOV","DEC"},0),VALUE(LEFT(A14,2)))</f>
        <v>46364</v>
      </c>
    </row>
    <row r="15" spans="1:18" ht="15.75" customHeight="1" x14ac:dyDescent="0.25">
      <c r="A15" s="8" t="s">
        <v>66</v>
      </c>
      <c r="B15" s="8" t="s">
        <v>67</v>
      </c>
      <c r="C15" s="8" t="s">
        <v>68</v>
      </c>
      <c r="D15" s="8">
        <v>150</v>
      </c>
      <c r="E15" s="8">
        <v>15</v>
      </c>
      <c r="F15" s="8" t="s">
        <v>46</v>
      </c>
      <c r="G15" s="11" t="str">
        <f t="shared" si="2"/>
        <v/>
      </c>
      <c r="H15" s="11" t="str">
        <f t="shared" si="3"/>
        <v/>
      </c>
      <c r="I15" s="11" t="str">
        <f t="shared" si="4"/>
        <v>Smartwatch</v>
      </c>
      <c r="J15" s="11" t="str">
        <f t="shared" si="5"/>
        <v>Electronics</v>
      </c>
      <c r="K15" s="11" t="str">
        <f t="shared" si="0"/>
        <v>Unique</v>
      </c>
      <c r="L15" s="8" t="s">
        <v>66</v>
      </c>
      <c r="M15" s="17" t="str">
        <f t="shared" si="1"/>
        <v>18-FEB</v>
      </c>
      <c r="N15" s="18" t="str">
        <f t="shared" si="6"/>
        <v>CA</v>
      </c>
      <c r="O15" s="19" t="str">
        <f t="shared" si="7"/>
        <v>Fitbit Smartwatch</v>
      </c>
      <c r="P15" s="21">
        <v>150</v>
      </c>
      <c r="Q15" s="24">
        <f>DATE(2026,MATCH(MID(A15,4,3),{"JAN","FEB","MAR","APR","MAY","JUN","JUL","AUG","SEP","OCT","NOV","DEC"},0),VALUE(LEFT(A15,2)))</f>
        <v>46071</v>
      </c>
      <c r="R15" t="s">
        <v>28</v>
      </c>
    </row>
    <row r="16" spans="1:18" ht="15.75" customHeight="1" x14ac:dyDescent="0.25">
      <c r="A16" s="5" t="s">
        <v>69</v>
      </c>
      <c r="B16" s="5" t="s">
        <v>70</v>
      </c>
      <c r="C16" s="5" t="s">
        <v>71</v>
      </c>
      <c r="D16" s="5">
        <v>250</v>
      </c>
      <c r="E16" s="5">
        <v>20</v>
      </c>
      <c r="F16" s="5" t="s">
        <v>46</v>
      </c>
      <c r="G16" s="11" t="str">
        <f t="shared" si="2"/>
        <v/>
      </c>
      <c r="H16" s="11" t="str">
        <f t="shared" si="3"/>
        <v/>
      </c>
      <c r="I16" s="11" t="str">
        <f t="shared" si="4"/>
        <v>Headphones</v>
      </c>
      <c r="J16" s="11" t="str">
        <f t="shared" si="5"/>
        <v>Electronics</v>
      </c>
      <c r="K16" s="11" t="str">
        <f t="shared" si="0"/>
        <v>Duplicate</v>
      </c>
      <c r="L16" s="5" t="s">
        <v>69</v>
      </c>
      <c r="M16" s="17" t="str">
        <f t="shared" si="1"/>
        <v>16-APR</v>
      </c>
      <c r="N16" s="18" t="str">
        <f t="shared" si="6"/>
        <v>ES</v>
      </c>
      <c r="O16" s="19" t="str">
        <f t="shared" si="7"/>
        <v>Bose headphones</v>
      </c>
      <c r="P16" s="20">
        <v>250</v>
      </c>
      <c r="Q16" s="24">
        <f>DATE(2026,MATCH(MID(A16,4,3),{"JAN","FEB","MAR","APR","MAY","JUN","JUL","AUG","SEP","OCT","NOV","DEC"},0),VALUE(LEFT(A16,2)))</f>
        <v>46128</v>
      </c>
      <c r="R16" t="s">
        <v>28</v>
      </c>
    </row>
    <row r="17" spans="1:18" ht="15.75" customHeight="1" x14ac:dyDescent="0.25">
      <c r="A17" s="8" t="s">
        <v>72</v>
      </c>
      <c r="B17" s="8" t="s">
        <v>73</v>
      </c>
      <c r="C17" s="8" t="s">
        <v>74</v>
      </c>
      <c r="D17" s="8">
        <v>50</v>
      </c>
      <c r="E17" s="8">
        <v>35</v>
      </c>
      <c r="F17" s="8" t="s">
        <v>75</v>
      </c>
      <c r="G17" s="11" t="str">
        <f t="shared" si="2"/>
        <v/>
      </c>
      <c r="H17" s="11" t="str">
        <f t="shared" si="3"/>
        <v/>
      </c>
      <c r="I17" s="11" t="str">
        <f t="shared" si="4"/>
        <v>Laptop Bag</v>
      </c>
      <c r="J17" s="11" t="str">
        <f t="shared" si="5"/>
        <v>Accessories</v>
      </c>
      <c r="K17" s="11" t="str">
        <f t="shared" si="0"/>
        <v>Duplicate</v>
      </c>
      <c r="L17" s="8" t="s">
        <v>72</v>
      </c>
      <c r="M17" s="17" t="str">
        <f t="shared" si="1"/>
        <v>21-AUG</v>
      </c>
      <c r="N17" s="18" t="str">
        <f t="shared" si="6"/>
        <v>CA</v>
      </c>
      <c r="O17" s="19" t="str">
        <f t="shared" si="7"/>
        <v>Samsonite Laptop Bag</v>
      </c>
      <c r="P17" s="21">
        <v>50</v>
      </c>
      <c r="Q17" s="24">
        <f>DATE(2026,MATCH(MID(A17,4,3),{"JAN","FEB","MAR","APR","MAY","JUN","JUL","AUG","SEP","OCT","NOV","DEC"},0),VALUE(LEFT(A17,2)))</f>
        <v>46255</v>
      </c>
      <c r="R17" t="s">
        <v>75</v>
      </c>
    </row>
    <row r="18" spans="1:18" ht="15.75" customHeight="1" x14ac:dyDescent="0.25">
      <c r="A18" s="5" t="s">
        <v>76</v>
      </c>
      <c r="B18" s="5" t="s">
        <v>67</v>
      </c>
      <c r="C18" s="5" t="s">
        <v>77</v>
      </c>
      <c r="D18" s="5">
        <v>160</v>
      </c>
      <c r="E18" s="5">
        <v>15</v>
      </c>
      <c r="F18" s="5" t="s">
        <v>46</v>
      </c>
      <c r="G18" s="11" t="str">
        <f t="shared" si="2"/>
        <v/>
      </c>
      <c r="H18" s="11" t="str">
        <f t="shared" si="3"/>
        <v/>
      </c>
      <c r="I18" s="11" t="str">
        <f t="shared" si="4"/>
        <v>Smartwatch</v>
      </c>
      <c r="J18" s="11" t="str">
        <f t="shared" si="5"/>
        <v>Electronics</v>
      </c>
      <c r="K18" s="11" t="str">
        <f t="shared" si="0"/>
        <v>Unique</v>
      </c>
      <c r="L18" s="5" t="s">
        <v>76</v>
      </c>
      <c r="M18" s="17" t="str">
        <f t="shared" si="1"/>
        <v>20-AUG</v>
      </c>
      <c r="N18" s="18" t="str">
        <f t="shared" si="6"/>
        <v>CN</v>
      </c>
      <c r="O18" s="19" t="str">
        <f t="shared" si="7"/>
        <v>Huawei Smartwatch</v>
      </c>
      <c r="P18" s="20">
        <v>160</v>
      </c>
      <c r="Q18" s="24">
        <f>DATE(2026,MATCH(MID(A18,4,3),{"JAN","FEB","MAR","APR","MAY","JUN","JUL","AUG","SEP","OCT","NOV","DEC"},0),VALUE(LEFT(A18,2)))</f>
        <v>46254</v>
      </c>
      <c r="R18" t="s">
        <v>28</v>
      </c>
    </row>
    <row r="19" spans="1:18" ht="15.75" customHeight="1" x14ac:dyDescent="0.25">
      <c r="A19" s="8" t="s">
        <v>78</v>
      </c>
      <c r="B19" s="8" t="s">
        <v>26</v>
      </c>
      <c r="C19" s="8" t="s">
        <v>79</v>
      </c>
      <c r="D19" s="8">
        <v>980</v>
      </c>
      <c r="E19" s="8">
        <v>10</v>
      </c>
      <c r="F19" s="8" t="s">
        <v>28</v>
      </c>
      <c r="G19" s="11" t="str">
        <f t="shared" si="2"/>
        <v/>
      </c>
      <c r="H19" s="11" t="str">
        <f t="shared" si="3"/>
        <v/>
      </c>
      <c r="I19" s="11" t="str">
        <f t="shared" si="4"/>
        <v>Laptop</v>
      </c>
      <c r="J19" s="11" t="str">
        <f t="shared" si="5"/>
        <v>Electronics</v>
      </c>
      <c r="K19" s="11" t="str">
        <f t="shared" si="0"/>
        <v>Unique</v>
      </c>
      <c r="L19" s="8" t="s">
        <v>78</v>
      </c>
      <c r="M19" s="17" t="str">
        <f t="shared" si="1"/>
        <v>27-JAN</v>
      </c>
      <c r="N19" s="18" t="str">
        <f t="shared" si="6"/>
        <v>IT</v>
      </c>
      <c r="O19" s="19" t="str">
        <f t="shared" si="7"/>
        <v>Asus laptop</v>
      </c>
      <c r="P19" s="21">
        <v>980</v>
      </c>
      <c r="Q19" s="24">
        <f>DATE(2026,MATCH(MID(A19,4,3),{"JAN","FEB","MAR","APR","MAY","JUN","JUL","AUG","SEP","OCT","NOV","DEC"},0),VALUE(LEFT(A19,2)))</f>
        <v>46049</v>
      </c>
      <c r="R19" t="s">
        <v>28</v>
      </c>
    </row>
    <row r="20" spans="1:18" ht="15.75" customHeight="1" x14ac:dyDescent="0.25">
      <c r="A20" s="5" t="s">
        <v>80</v>
      </c>
      <c r="B20" s="5" t="s">
        <v>81</v>
      </c>
      <c r="C20" s="5" t="s">
        <v>82</v>
      </c>
      <c r="D20" s="5">
        <v>150</v>
      </c>
      <c r="E20" s="5">
        <v>15</v>
      </c>
      <c r="F20" s="5" t="s">
        <v>32</v>
      </c>
      <c r="G20" s="11" t="str">
        <f t="shared" si="2"/>
        <v/>
      </c>
      <c r="H20" s="11" t="str">
        <f t="shared" si="3"/>
        <v/>
      </c>
      <c r="I20" s="11" t="str">
        <f t="shared" si="4"/>
        <v>Sunglasses</v>
      </c>
      <c r="J20" s="11" t="str">
        <f t="shared" si="5"/>
        <v>Fashion</v>
      </c>
      <c r="K20" s="11" t="str">
        <f t="shared" si="0"/>
        <v>Unique</v>
      </c>
      <c r="L20" s="5" t="s">
        <v>80</v>
      </c>
      <c r="M20" s="17" t="str">
        <f t="shared" si="1"/>
        <v>01-MAR</v>
      </c>
      <c r="N20" s="18" t="str">
        <f t="shared" si="6"/>
        <v>UK</v>
      </c>
      <c r="O20" s="19" t="str">
        <f t="shared" si="7"/>
        <v>Oakley Sunglasses</v>
      </c>
      <c r="P20" s="20">
        <v>150</v>
      </c>
      <c r="Q20" s="24">
        <f>DATE(2026,MATCH(MID(A20,4,3),{"JAN","FEB","MAR","APR","MAY","JUN","JUL","AUG","SEP","OCT","NOV","DEC"},0),VALUE(LEFT(A20,2)))</f>
        <v>46082</v>
      </c>
      <c r="R20" t="s">
        <v>32</v>
      </c>
    </row>
    <row r="21" spans="1:18" ht="15.75" customHeight="1" x14ac:dyDescent="0.25">
      <c r="A21" s="8" t="s">
        <v>83</v>
      </c>
      <c r="B21" s="8" t="s">
        <v>84</v>
      </c>
      <c r="C21" s="8" t="s">
        <v>85</v>
      </c>
      <c r="D21" s="8"/>
      <c r="E21" s="8">
        <v>10</v>
      </c>
      <c r="F21" s="8" t="s">
        <v>59</v>
      </c>
      <c r="G21" s="11" t="str">
        <f t="shared" si="2"/>
        <v>Missing Price</v>
      </c>
      <c r="H21" s="11" t="str">
        <f t="shared" si="3"/>
        <v/>
      </c>
      <c r="I21" s="11" t="str">
        <f t="shared" si="4"/>
        <v>Camping Tent</v>
      </c>
      <c r="J21" s="11" t="str">
        <f t="shared" si="5"/>
        <v>Outdoor</v>
      </c>
      <c r="K21" s="11" t="str">
        <f t="shared" si="0"/>
        <v>Unique</v>
      </c>
      <c r="L21" s="8" t="s">
        <v>83</v>
      </c>
      <c r="M21" s="17" t="str">
        <f t="shared" si="1"/>
        <v>14-AUG</v>
      </c>
      <c r="N21" s="18" t="str">
        <f t="shared" si="6"/>
        <v>US</v>
      </c>
      <c r="O21" s="19" t="str">
        <f t="shared" si="7"/>
        <v>Coleman Camping Tent</v>
      </c>
      <c r="P21" s="21"/>
      <c r="Q21" s="24">
        <f>DATE(2026,MATCH(MID(A21,4,3),{"JAN","FEB","MAR","APR","MAY","JUN","JUL","AUG","SEP","OCT","NOV","DEC"},0),VALUE(LEFT(A21,2)))</f>
        <v>46248</v>
      </c>
      <c r="R21" t="s">
        <v>59</v>
      </c>
    </row>
    <row r="22" spans="1:18" ht="15.75" customHeight="1" x14ac:dyDescent="0.25">
      <c r="A22" s="5" t="s">
        <v>86</v>
      </c>
      <c r="B22" s="5" t="s">
        <v>87</v>
      </c>
      <c r="C22" s="5" t="s">
        <v>88</v>
      </c>
      <c r="D22" s="5">
        <v>700</v>
      </c>
      <c r="E22" s="5">
        <v>50</v>
      </c>
      <c r="F22" s="5" t="s">
        <v>28</v>
      </c>
      <c r="G22" s="11" t="str">
        <f t="shared" si="2"/>
        <v/>
      </c>
      <c r="H22" s="11" t="str">
        <f t="shared" si="3"/>
        <v/>
      </c>
      <c r="I22" s="11" t="str">
        <f t="shared" si="4"/>
        <v>Camera</v>
      </c>
      <c r="J22" s="11" t="str">
        <f t="shared" si="5"/>
        <v>Electronics</v>
      </c>
      <c r="K22" s="11" t="str">
        <f t="shared" si="0"/>
        <v>Unique</v>
      </c>
      <c r="L22" s="5" t="s">
        <v>86</v>
      </c>
      <c r="M22" s="17" t="str">
        <f t="shared" si="1"/>
        <v>14-MAY</v>
      </c>
      <c r="N22" s="18" t="str">
        <f t="shared" si="6"/>
        <v>RU</v>
      </c>
      <c r="O22" s="19" t="str">
        <f t="shared" si="7"/>
        <v>Nikon Camera</v>
      </c>
      <c r="P22" s="20">
        <v>700</v>
      </c>
      <c r="Q22" s="24">
        <f>DATE(2026,MATCH(MID(A22,4,3),{"JAN","FEB","MAR","APR","MAY","JUN","JUL","AUG","SEP","OCT","NOV","DEC"},0),VALUE(LEFT(A22,2)))</f>
        <v>46156</v>
      </c>
      <c r="R22" t="s">
        <v>28</v>
      </c>
    </row>
    <row r="23" spans="1:18" ht="15.75" customHeight="1" x14ac:dyDescent="0.25">
      <c r="A23" s="8" t="s">
        <v>89</v>
      </c>
      <c r="B23" s="8" t="s">
        <v>90</v>
      </c>
      <c r="C23" s="8" t="s">
        <v>91</v>
      </c>
      <c r="D23" s="8">
        <v>80</v>
      </c>
      <c r="E23" s="8">
        <v>20</v>
      </c>
      <c r="F23" s="8" t="s">
        <v>36</v>
      </c>
      <c r="G23" s="11" t="str">
        <f>IF(D23="","Missing Price","")</f>
        <v/>
      </c>
      <c r="H23" s="11" t="str">
        <f t="shared" si="3"/>
        <v/>
      </c>
      <c r="I23" s="11" t="str">
        <f t="shared" si="4"/>
        <v>Microwave</v>
      </c>
      <c r="J23" s="11" t="str">
        <f t="shared" si="5"/>
        <v>Kitchen</v>
      </c>
      <c r="K23" s="11" t="str">
        <f t="shared" si="0"/>
        <v>Unique</v>
      </c>
      <c r="L23" s="8" t="s">
        <v>89</v>
      </c>
      <c r="M23" s="17" t="str">
        <f t="shared" si="1"/>
        <v>09-JAN</v>
      </c>
      <c r="N23" s="18" t="str">
        <f t="shared" si="6"/>
        <v>CA</v>
      </c>
      <c r="O23" s="19" t="str">
        <f t="shared" si="7"/>
        <v>Panasonic Microwave</v>
      </c>
      <c r="P23" s="21">
        <v>80</v>
      </c>
      <c r="Q23" s="24">
        <f>DATE(2026,MATCH(MID(A23,4,3),{"JAN","FEB","MAR","APR","MAY","JUN","JUL","AUG","SEP","OCT","NOV","DEC"},0),VALUE(LEFT(A23,2)))</f>
        <v>46031</v>
      </c>
      <c r="R23" t="s">
        <v>36</v>
      </c>
    </row>
    <row r="24" spans="1:18" ht="15.75" customHeight="1" x14ac:dyDescent="0.25">
      <c r="A24" s="5" t="s">
        <v>92</v>
      </c>
      <c r="B24" s="5" t="s">
        <v>93</v>
      </c>
      <c r="C24" s="5" t="s">
        <v>94</v>
      </c>
      <c r="D24" s="5">
        <v>150</v>
      </c>
      <c r="E24" s="5">
        <v>30</v>
      </c>
      <c r="F24" s="5"/>
      <c r="G24" s="11" t="str">
        <f t="shared" si="2"/>
        <v/>
      </c>
      <c r="H24" s="11" t="str">
        <f t="shared" si="3"/>
        <v>Missing Category</v>
      </c>
      <c r="I24" s="11" t="str">
        <f t="shared" si="4"/>
        <v>Fitness Tracker</v>
      </c>
      <c r="J24" s="11">
        <f t="shared" si="5"/>
        <v>0</v>
      </c>
      <c r="K24" s="11" t="str">
        <f t="shared" si="0"/>
        <v>Unique</v>
      </c>
      <c r="L24" s="5" t="s">
        <v>92</v>
      </c>
      <c r="M24" s="17" t="str">
        <f t="shared" si="1"/>
        <v>19-JUL</v>
      </c>
      <c r="N24" s="18" t="str">
        <f t="shared" si="6"/>
        <v>BR</v>
      </c>
      <c r="O24" s="19" t="str">
        <f t="shared" si="7"/>
        <v>Xiaomi Fitness Tracker</v>
      </c>
      <c r="P24" s="20">
        <v>150</v>
      </c>
      <c r="Q24" s="24">
        <f>DATE(2026,MATCH(MID(A24,4,3),{"JAN","FEB","MAR","APR","MAY","JUN","JUL","AUG","SEP","OCT","NOV","DEC"},0),VALUE(LEFT(A24,2)))</f>
        <v>46222</v>
      </c>
    </row>
    <row r="25" spans="1:18" ht="15.75" customHeight="1" x14ac:dyDescent="0.25">
      <c r="A25" s="8" t="s">
        <v>72</v>
      </c>
      <c r="B25" s="8" t="s">
        <v>73</v>
      </c>
      <c r="C25" s="8" t="s">
        <v>74</v>
      </c>
      <c r="D25" s="8">
        <v>50</v>
      </c>
      <c r="E25" s="8">
        <v>35</v>
      </c>
      <c r="F25" s="8" t="s">
        <v>75</v>
      </c>
      <c r="G25" s="11" t="str">
        <f t="shared" si="2"/>
        <v/>
      </c>
      <c r="H25" s="11" t="str">
        <f t="shared" si="3"/>
        <v/>
      </c>
      <c r="I25" s="11" t="str">
        <f t="shared" si="4"/>
        <v>Laptop Bag</v>
      </c>
      <c r="J25" s="11" t="str">
        <f t="shared" si="5"/>
        <v>Accessories</v>
      </c>
      <c r="K25" s="11" t="str">
        <f t="shared" si="0"/>
        <v>Duplicate</v>
      </c>
      <c r="L25" s="8" t="s">
        <v>72</v>
      </c>
      <c r="M25" s="17" t="str">
        <f t="shared" si="1"/>
        <v>21-AUG</v>
      </c>
      <c r="N25" s="18" t="str">
        <f t="shared" si="6"/>
        <v>CA</v>
      </c>
      <c r="O25" s="19" t="str">
        <f t="shared" si="7"/>
        <v>Samsonite Laptop Bag</v>
      </c>
      <c r="P25" s="21">
        <v>50</v>
      </c>
      <c r="Q25" s="24">
        <f>DATE(2026,MATCH(MID(A25,4,3),{"JAN","FEB","MAR","APR","MAY","JUN","JUL","AUG","SEP","OCT","NOV","DEC"},0),VALUE(LEFT(A25,2)))</f>
        <v>46255</v>
      </c>
      <c r="R25" t="s">
        <v>75</v>
      </c>
    </row>
    <row r="26" spans="1:18" ht="15.75" customHeight="1" x14ac:dyDescent="0.25">
      <c r="A26" s="5" t="s">
        <v>95</v>
      </c>
      <c r="B26" s="5" t="s">
        <v>96</v>
      </c>
      <c r="C26" s="5" t="s">
        <v>97</v>
      </c>
      <c r="D26" s="5">
        <v>800</v>
      </c>
      <c r="E26" s="5">
        <v>45</v>
      </c>
      <c r="F26" s="5" t="s">
        <v>28</v>
      </c>
      <c r="G26" s="11" t="str">
        <f t="shared" si="2"/>
        <v/>
      </c>
      <c r="H26" s="11" t="str">
        <f t="shared" si="3"/>
        <v/>
      </c>
      <c r="I26" s="11" t="str">
        <f t="shared" si="4"/>
        <v>Smartphone</v>
      </c>
      <c r="J26" s="11" t="str">
        <f t="shared" si="5"/>
        <v>Electronics</v>
      </c>
      <c r="K26" s="11" t="str">
        <f t="shared" si="0"/>
        <v>Unique</v>
      </c>
      <c r="L26" s="5" t="s">
        <v>95</v>
      </c>
      <c r="M26" s="17" t="str">
        <f t="shared" si="1"/>
        <v>29-SEP</v>
      </c>
      <c r="N26" s="18" t="str">
        <f t="shared" si="6"/>
        <v>CA</v>
      </c>
      <c r="O26" s="19" t="str">
        <f t="shared" si="7"/>
        <v>Google Smartphone</v>
      </c>
      <c r="P26" s="20">
        <v>800</v>
      </c>
      <c r="Q26" s="24">
        <f>DATE(2026,MATCH(MID(A26,4,3),{"JAN","FEB","MAR","APR","MAY","JUN","JUL","AUG","SEP","OCT","NOV","DEC"},0),VALUE(LEFT(A26,2)))</f>
        <v>46294</v>
      </c>
      <c r="R26" t="s">
        <v>28</v>
      </c>
    </row>
    <row r="27" spans="1:18" ht="15.75" customHeight="1" x14ac:dyDescent="0.25">
      <c r="A27" s="8" t="s">
        <v>98</v>
      </c>
      <c r="B27" s="8" t="s">
        <v>81</v>
      </c>
      <c r="C27" s="8" t="s">
        <v>99</v>
      </c>
      <c r="D27" s="8"/>
      <c r="E27" s="8">
        <v>25</v>
      </c>
      <c r="F27" s="8" t="s">
        <v>32</v>
      </c>
      <c r="G27" s="12"/>
      <c r="H27" s="12" t="str">
        <f t="shared" si="3"/>
        <v/>
      </c>
      <c r="I27" s="11" t="str">
        <f t="shared" si="4"/>
        <v>Sunglasses</v>
      </c>
      <c r="J27" s="11" t="str">
        <f t="shared" si="5"/>
        <v>Fashion</v>
      </c>
      <c r="K27" s="11" t="str">
        <f t="shared" si="0"/>
        <v>Unique</v>
      </c>
      <c r="L27" s="8" t="s">
        <v>98</v>
      </c>
      <c r="M27" s="17" t="str">
        <f t="shared" si="1"/>
        <v>03-JUN</v>
      </c>
      <c r="N27" s="18" t="str">
        <f t="shared" si="6"/>
        <v>CA</v>
      </c>
      <c r="O27" s="19" t="str">
        <f t="shared" si="7"/>
        <v>Ray-Ban Sunglasses</v>
      </c>
      <c r="P27" s="21"/>
      <c r="Q27" s="24">
        <f>DATE(2026,MATCH(MID(A27,4,3),{"JAN","FEB","MAR","APR","MAY","JUN","JUL","AUG","SEP","OCT","NOV","DEC"},0),VALUE(LEFT(A27,2)))</f>
        <v>46176</v>
      </c>
      <c r="R27" t="s">
        <v>32</v>
      </c>
    </row>
    <row r="28" spans="1:18" ht="15.75" customHeight="1" x14ac:dyDescent="0.25">
      <c r="A28" s="5" t="s">
        <v>100</v>
      </c>
      <c r="B28" s="5" t="s">
        <v>51</v>
      </c>
      <c r="C28" s="5" t="s">
        <v>101</v>
      </c>
      <c r="D28" s="5">
        <v>400</v>
      </c>
      <c r="E28" s="5">
        <v>40</v>
      </c>
      <c r="F28" s="5" t="s">
        <v>36</v>
      </c>
      <c r="G28" s="12" t="str">
        <f t="shared" si="2"/>
        <v/>
      </c>
      <c r="H28" s="12" t="str">
        <f t="shared" si="3"/>
        <v/>
      </c>
      <c r="I28" s="11" t="str">
        <f t="shared" si="4"/>
        <v>Blender</v>
      </c>
      <c r="J28" s="11" t="str">
        <f t="shared" si="5"/>
        <v>Kitchen</v>
      </c>
      <c r="K28" s="11" t="str">
        <f t="shared" si="0"/>
        <v>Unique</v>
      </c>
      <c r="L28" s="5" t="s">
        <v>100</v>
      </c>
      <c r="M28" s="17" t="str">
        <f t="shared" si="1"/>
        <v>11-JUL</v>
      </c>
      <c r="N28" s="18" t="str">
        <f t="shared" si="6"/>
        <v>CA</v>
      </c>
      <c r="O28" s="19" t="str">
        <f t="shared" si="7"/>
        <v>Vitamix Blender</v>
      </c>
      <c r="P28" s="20">
        <v>400</v>
      </c>
      <c r="Q28" s="24">
        <f>DATE(2026,MATCH(MID(A28,4,3),{"JAN","FEB","MAR","APR","MAY","JUN","JUL","AUG","SEP","OCT","NOV","DEC"},0),VALUE(LEFT(A28,2)))</f>
        <v>46214</v>
      </c>
      <c r="R28" t="s">
        <v>36</v>
      </c>
    </row>
    <row r="29" spans="1:18" ht="15.75" customHeight="1" x14ac:dyDescent="0.25">
      <c r="A29" s="8" t="s">
        <v>69</v>
      </c>
      <c r="B29" s="8" t="s">
        <v>70</v>
      </c>
      <c r="C29" s="8" t="s">
        <v>71</v>
      </c>
      <c r="D29" s="8">
        <v>250</v>
      </c>
      <c r="E29" s="8">
        <v>20</v>
      </c>
      <c r="F29" s="8" t="s">
        <v>46</v>
      </c>
      <c r="G29" s="12" t="str">
        <f t="shared" si="2"/>
        <v/>
      </c>
      <c r="H29" s="12" t="str">
        <f t="shared" si="3"/>
        <v/>
      </c>
      <c r="I29" s="11" t="str">
        <f t="shared" si="4"/>
        <v>Headphones</v>
      </c>
      <c r="J29" s="11" t="str">
        <f t="shared" si="5"/>
        <v>Electronics</v>
      </c>
      <c r="K29" s="11" t="str">
        <f t="shared" si="0"/>
        <v>Duplicate</v>
      </c>
      <c r="L29" s="8" t="s">
        <v>69</v>
      </c>
      <c r="M29" s="17" t="str">
        <f t="shared" si="1"/>
        <v>16-APR</v>
      </c>
      <c r="N29" s="18" t="str">
        <f t="shared" si="6"/>
        <v>ES</v>
      </c>
      <c r="O29" s="19" t="str">
        <f t="shared" si="7"/>
        <v>Bose headphones</v>
      </c>
      <c r="P29" s="21">
        <v>250</v>
      </c>
      <c r="Q29" s="24">
        <f>DATE(2026,MATCH(MID(A29,4,3),{"JAN","FEB","MAR","APR","MAY","JUN","JUL","AUG","SEP","OCT","NOV","DEC"},0),VALUE(LEFT(A29,2)))</f>
        <v>46128</v>
      </c>
      <c r="R29" t="s">
        <v>28</v>
      </c>
    </row>
    <row r="30" spans="1:18" ht="15.75" customHeight="1" x14ac:dyDescent="0.25">
      <c r="A30" s="5" t="s">
        <v>102</v>
      </c>
      <c r="B30" s="5" t="s">
        <v>103</v>
      </c>
      <c r="C30" s="5" t="s">
        <v>104</v>
      </c>
      <c r="D30" s="5">
        <v>60</v>
      </c>
      <c r="E30" s="5">
        <v>30</v>
      </c>
      <c r="F30" s="5" t="s">
        <v>32</v>
      </c>
      <c r="G30" s="12" t="str">
        <f t="shared" si="2"/>
        <v/>
      </c>
      <c r="H30" s="12" t="str">
        <f t="shared" si="3"/>
        <v/>
      </c>
      <c r="I30" s="11" t="str">
        <f t="shared" si="4"/>
        <v>Dress</v>
      </c>
      <c r="J30" s="11" t="str">
        <f t="shared" si="5"/>
        <v>Fashion</v>
      </c>
      <c r="K30" s="11" t="str">
        <f t="shared" si="0"/>
        <v>Unique</v>
      </c>
      <c r="L30" s="5" t="s">
        <v>102</v>
      </c>
      <c r="M30" s="17" t="str">
        <f t="shared" si="1"/>
        <v>07-MAR</v>
      </c>
      <c r="N30" s="18" t="str">
        <f t="shared" si="6"/>
        <v>CA</v>
      </c>
      <c r="O30" s="19" t="str">
        <f t="shared" si="7"/>
        <v>Zara Dress</v>
      </c>
      <c r="P30" s="20">
        <v>60</v>
      </c>
      <c r="Q30" s="24">
        <f>DATE(2026,MATCH(MID(A30,4,3),{"JAN","FEB","MAR","APR","MAY","JUN","JUL","AUG","SEP","OCT","NOV","DEC"},0),VALUE(LEFT(A30,2)))</f>
        <v>46088</v>
      </c>
      <c r="R30" t="s">
        <v>32</v>
      </c>
    </row>
    <row r="31" spans="1:18" ht="15.75" customHeight="1" x14ac:dyDescent="0.25">
      <c r="A31" s="8" t="s">
        <v>105</v>
      </c>
      <c r="B31" s="8" t="s">
        <v>106</v>
      </c>
      <c r="C31" s="8" t="s">
        <v>107</v>
      </c>
      <c r="D31" s="8">
        <v>40</v>
      </c>
      <c r="E31" s="8">
        <v>10</v>
      </c>
      <c r="F31" s="8" t="s">
        <v>36</v>
      </c>
      <c r="G31" s="12" t="str">
        <f t="shared" si="2"/>
        <v/>
      </c>
      <c r="H31" s="12" t="str">
        <f t="shared" si="3"/>
        <v/>
      </c>
      <c r="I31" s="11" t="str">
        <f t="shared" si="4"/>
        <v>Toaster</v>
      </c>
      <c r="J31" s="11" t="str">
        <f t="shared" si="5"/>
        <v>Kitchen</v>
      </c>
      <c r="K31" s="11" t="str">
        <f t="shared" si="0"/>
        <v>Unique</v>
      </c>
      <c r="L31" s="8" t="s">
        <v>105</v>
      </c>
      <c r="M31" s="17" t="str">
        <f t="shared" si="1"/>
        <v>13-APR</v>
      </c>
      <c r="N31" s="18" t="str">
        <f t="shared" si="6"/>
        <v>CA</v>
      </c>
      <c r="O31" s="19" t="str">
        <f t="shared" si="7"/>
        <v>Hamilton Toaster</v>
      </c>
      <c r="P31" s="21">
        <v>40</v>
      </c>
      <c r="Q31" s="24">
        <f>DATE(2026,MATCH(MID(A31,4,3),{"JAN","FEB","MAR","APR","MAY","JUN","JUL","AUG","SEP","OCT","NOV","DEC"},0),VALUE(LEFT(A31,2)))</f>
        <v>46125</v>
      </c>
      <c r="R31" t="s">
        <v>36</v>
      </c>
    </row>
    <row r="32" spans="1:18" ht="15.75" customHeight="1" x14ac:dyDescent="0.25">
      <c r="A32" s="5" t="s">
        <v>108</v>
      </c>
      <c r="B32" s="5" t="s">
        <v>93</v>
      </c>
      <c r="C32" s="5" t="s">
        <v>109</v>
      </c>
      <c r="D32" s="5">
        <v>130</v>
      </c>
      <c r="E32" s="5">
        <v>5</v>
      </c>
      <c r="F32" s="5" t="s">
        <v>28</v>
      </c>
      <c r="G32" s="12" t="str">
        <f t="shared" si="2"/>
        <v/>
      </c>
      <c r="H32" s="12" t="str">
        <f t="shared" si="3"/>
        <v/>
      </c>
      <c r="I32" s="11" t="str">
        <f t="shared" si="4"/>
        <v>Fitness Tracker</v>
      </c>
      <c r="J32" s="11" t="str">
        <f t="shared" si="5"/>
        <v>Electronics</v>
      </c>
      <c r="K32" s="11" t="str">
        <f t="shared" si="0"/>
        <v>Unique</v>
      </c>
      <c r="L32" s="5" t="s">
        <v>108</v>
      </c>
      <c r="M32" s="17" t="str">
        <f t="shared" si="1"/>
        <v>24-MAY</v>
      </c>
      <c r="N32" s="18" t="str">
        <f t="shared" si="6"/>
        <v>CA</v>
      </c>
      <c r="O32" s="19" t="str">
        <f t="shared" si="7"/>
        <v>Garmin Fitness Tracker</v>
      </c>
      <c r="P32" s="20">
        <v>130</v>
      </c>
      <c r="Q32" s="24">
        <f>DATE(2026,MATCH(MID(A32,4,3),{"JAN","FEB","MAR","APR","MAY","JUN","JUL","AUG","SEP","OCT","NOV","DEC"},0),VALUE(LEFT(A32,2)))</f>
        <v>46166</v>
      </c>
      <c r="R32" t="s">
        <v>28</v>
      </c>
    </row>
    <row r="33" spans="1:18" ht="15.75" customHeight="1" x14ac:dyDescent="0.25">
      <c r="A33" s="8" t="s">
        <v>110</v>
      </c>
      <c r="B33" s="8" t="s">
        <v>111</v>
      </c>
      <c r="C33" s="8" t="s">
        <v>112</v>
      </c>
      <c r="D33" s="8">
        <v>50</v>
      </c>
      <c r="E33" s="8">
        <v>50</v>
      </c>
      <c r="F33" s="8" t="s">
        <v>32</v>
      </c>
      <c r="G33" s="12" t="str">
        <f t="shared" si="2"/>
        <v/>
      </c>
      <c r="H33" s="12" t="str">
        <f t="shared" si="3"/>
        <v/>
      </c>
      <c r="I33" s="11" t="str">
        <f t="shared" si="4"/>
        <v>Jeans</v>
      </c>
      <c r="J33" s="11" t="str">
        <f t="shared" si="5"/>
        <v>Fashion</v>
      </c>
      <c r="K33" s="11" t="str">
        <f t="shared" si="0"/>
        <v>Unique</v>
      </c>
      <c r="L33" s="8" t="s">
        <v>110</v>
      </c>
      <c r="M33" s="17" t="str">
        <f t="shared" si="1"/>
        <v>02-DEC</v>
      </c>
      <c r="N33" s="18" t="str">
        <f t="shared" si="6"/>
        <v>CA</v>
      </c>
      <c r="O33" s="19" t="str">
        <f t="shared" si="7"/>
        <v>Levi's Jeans</v>
      </c>
      <c r="P33" s="21">
        <v>50</v>
      </c>
      <c r="Q33" s="24">
        <f>DATE(2026,MATCH(MID(A33,4,3),{"JAN","FEB","MAR","APR","MAY","JUN","JUL","AUG","SEP","OCT","NOV","DEC"},0),VALUE(LEFT(A33,2)))</f>
        <v>46358</v>
      </c>
      <c r="R33" t="s">
        <v>32</v>
      </c>
    </row>
    <row r="34" spans="1:18" ht="15.75" customHeight="1" x14ac:dyDescent="0.25">
      <c r="A34" s="5" t="s">
        <v>60</v>
      </c>
      <c r="B34" s="5" t="s">
        <v>61</v>
      </c>
      <c r="C34" s="5" t="s">
        <v>62</v>
      </c>
      <c r="D34" s="5">
        <v>950</v>
      </c>
      <c r="E34" s="5">
        <v>25</v>
      </c>
      <c r="F34" s="5" t="s">
        <v>28</v>
      </c>
      <c r="G34" s="12" t="str">
        <f t="shared" si="2"/>
        <v/>
      </c>
      <c r="H34" s="12" t="str">
        <f t="shared" si="3"/>
        <v/>
      </c>
      <c r="I34" s="11" t="str">
        <f t="shared" si="4"/>
        <v>Laptop</v>
      </c>
      <c r="J34" s="11" t="str">
        <f t="shared" si="5"/>
        <v>Electronics</v>
      </c>
      <c r="K34" s="11" t="str">
        <f t="shared" si="0"/>
        <v>Duplicate</v>
      </c>
      <c r="L34" s="5" t="s">
        <v>60</v>
      </c>
      <c r="M34" s="17" t="str">
        <f t="shared" si="1"/>
        <v>17-JUN</v>
      </c>
      <c r="N34" s="18" t="str">
        <f t="shared" si="6"/>
        <v>IN</v>
      </c>
      <c r="O34" s="19" t="str">
        <f t="shared" si="7"/>
        <v>HP Laptop</v>
      </c>
      <c r="P34" s="20">
        <v>950</v>
      </c>
      <c r="Q34" s="24">
        <f>DATE(2026,MATCH(MID(A34,4,3),{"JAN","FEB","MAR","APR","MAY","JUN","JUL","AUG","SEP","OCT","NOV","DEC"},0),VALUE(LEFT(A34,2)))</f>
        <v>46190</v>
      </c>
      <c r="R34" t="s">
        <v>28</v>
      </c>
    </row>
    <row r="35" spans="1:18" ht="15.75" customHeight="1" x14ac:dyDescent="0.25">
      <c r="A35" s="8" t="s">
        <v>113</v>
      </c>
      <c r="B35" s="8" t="s">
        <v>114</v>
      </c>
      <c r="C35" s="8" t="s">
        <v>115</v>
      </c>
      <c r="D35" s="8">
        <v>100</v>
      </c>
      <c r="E35" s="8">
        <v>20</v>
      </c>
      <c r="F35" s="8" t="s">
        <v>75</v>
      </c>
      <c r="G35" s="12" t="str">
        <f t="shared" si="2"/>
        <v/>
      </c>
      <c r="H35" s="12" t="str">
        <f t="shared" si="3"/>
        <v/>
      </c>
      <c r="I35" s="11" t="str">
        <f t="shared" si="4"/>
        <v>Watch</v>
      </c>
      <c r="J35" s="11" t="str">
        <f t="shared" si="5"/>
        <v>Accessories</v>
      </c>
      <c r="K35" s="11" t="str">
        <f t="shared" si="0"/>
        <v>Unique</v>
      </c>
      <c r="L35" s="8" t="s">
        <v>113</v>
      </c>
      <c r="M35" s="17" t="str">
        <f t="shared" si="1"/>
        <v>09-JUL</v>
      </c>
      <c r="N35" s="18" t="str">
        <f t="shared" si="6"/>
        <v>FR</v>
      </c>
      <c r="O35" s="19" t="str">
        <f t="shared" si="7"/>
        <v>Casio Watch</v>
      </c>
      <c r="P35" s="21">
        <v>100</v>
      </c>
      <c r="Q35" s="24">
        <f>DATE(2026,MATCH(MID(A35,4,3),{"JAN","FEB","MAR","APR","MAY","JUN","JUL","AUG","SEP","OCT","NOV","DEC"},0),VALUE(LEFT(A35,2)))</f>
        <v>46212</v>
      </c>
      <c r="R35" t="s">
        <v>75</v>
      </c>
    </row>
    <row r="36" spans="1:18" ht="15.75" customHeight="1" x14ac:dyDescent="0.25"/>
    <row r="37" spans="1:18" ht="15.75" customHeight="1" x14ac:dyDescent="0.25"/>
    <row r="38" spans="1:18" ht="15.75" customHeight="1" x14ac:dyDescent="0.25"/>
    <row r="39" spans="1:18" ht="15.75" customHeight="1" x14ac:dyDescent="0.25"/>
    <row r="40" spans="1:18" ht="15.75" customHeight="1" x14ac:dyDescent="0.25"/>
    <row r="41" spans="1:18" ht="15.75" customHeight="1" x14ac:dyDescent="0.25">
      <c r="C41" t="s">
        <v>1</v>
      </c>
      <c r="D41">
        <f>COUNTBLANK(D2:D35)</f>
        <v>3</v>
      </c>
      <c r="P41" s="22">
        <f>COUNTBLANK(P2:P35)</f>
        <v>3</v>
      </c>
    </row>
    <row r="42" spans="1:18" ht="15.75" customHeight="1" x14ac:dyDescent="0.25"/>
    <row r="43" spans="1:18" ht="15.75" customHeight="1" x14ac:dyDescent="0.25"/>
    <row r="44" spans="1:18" ht="15.75" customHeight="1" x14ac:dyDescent="0.25"/>
    <row r="45" spans="1:18" ht="15.75" customHeight="1" x14ac:dyDescent="0.25"/>
    <row r="46" spans="1:18" ht="15.75" customHeight="1" x14ac:dyDescent="0.25"/>
    <row r="47" spans="1:18" ht="15.75" customHeight="1" x14ac:dyDescent="0.25"/>
    <row r="48" spans="1:1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conditionalFormatting sqref="J2:J35">
    <cfRule type="expression" dxfId="1" priority="2">
      <formula>$H2="Electronics"</formula>
    </cfRule>
  </conditionalFormatting>
  <conditionalFormatting sqref="P2:P35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{BEB03E0D-F08D-4D7A-891F-772CFCCE352C}</x14:id>
        </ext>
      </extLst>
    </cfRule>
  </conditionalFormatting>
  <conditionalFormatting sqref="R2:R35">
    <cfRule type="expression" dxfId="0" priority="1">
      <formula>$R2="Electronics"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EB03E0D-F08D-4D7A-891F-772CFCCE352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P2:P35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33871-065E-45E7-B665-7605B919B16D}">
  <dimension ref="D2:G37"/>
  <sheetViews>
    <sheetView topLeftCell="A10" workbookViewId="0">
      <selection activeCell="G2" sqref="G2:G35"/>
    </sheetView>
  </sheetViews>
  <sheetFormatPr defaultRowHeight="13.2" x14ac:dyDescent="0.25"/>
  <cols>
    <col min="4" max="4" width="6.109375" bestFit="1" customWidth="1"/>
    <col min="7" max="7" width="15.33203125" customWidth="1"/>
  </cols>
  <sheetData>
    <row r="2" spans="4:7" x14ac:dyDescent="0.25">
      <c r="G2" t="s">
        <v>28</v>
      </c>
    </row>
    <row r="3" spans="4:7" x14ac:dyDescent="0.25">
      <c r="G3" t="s">
        <v>32</v>
      </c>
    </row>
    <row r="4" spans="4:7" x14ac:dyDescent="0.25">
      <c r="D4" s="17"/>
      <c r="G4" t="s">
        <v>36</v>
      </c>
    </row>
    <row r="5" spans="4:7" x14ac:dyDescent="0.25">
      <c r="D5" s="17" t="e">
        <f>LEFT(#REF!,2)&amp;"-"&amp;MID(#REF!,4,3)</f>
        <v>#REF!</v>
      </c>
      <c r="G5" t="s">
        <v>28</v>
      </c>
    </row>
    <row r="6" spans="4:7" x14ac:dyDescent="0.25">
      <c r="D6" s="17" t="e">
        <f>LEFT(#REF!,2)&amp;"-"&amp;MID(#REF!,4,3)</f>
        <v>#REF!</v>
      </c>
    </row>
    <row r="7" spans="4:7" x14ac:dyDescent="0.25">
      <c r="D7" s="17" t="e">
        <f>LEFT(#REF!,2)&amp;"-"&amp;MID(#REF!,4,3)</f>
        <v>#REF!</v>
      </c>
      <c r="G7" t="s">
        <v>28</v>
      </c>
    </row>
    <row r="8" spans="4:7" x14ac:dyDescent="0.25">
      <c r="D8" s="17" t="e">
        <f>LEFT(#REF!,2)&amp;"-"&amp;MID(#REF!,4,3)</f>
        <v>#REF!</v>
      </c>
      <c r="G8" t="s">
        <v>32</v>
      </c>
    </row>
    <row r="9" spans="4:7" x14ac:dyDescent="0.25">
      <c r="D9" s="17" t="e">
        <f>LEFT(#REF!,2)&amp;"-"&amp;MID(#REF!,4,3)</f>
        <v>#REF!</v>
      </c>
      <c r="G9" t="s">
        <v>36</v>
      </c>
    </row>
    <row r="10" spans="4:7" x14ac:dyDescent="0.25">
      <c r="D10" s="17" t="e">
        <f>LEFT(#REF!,2)&amp;"-"&amp;MID(#REF!,4,3)</f>
        <v>#REF!</v>
      </c>
      <c r="G10" t="s">
        <v>28</v>
      </c>
    </row>
    <row r="11" spans="4:7" x14ac:dyDescent="0.25">
      <c r="D11" s="17" t="e">
        <f>LEFT(#REF!,2)&amp;"-"&amp;MID(#REF!,4,3)</f>
        <v>#REF!</v>
      </c>
      <c r="G11" t="s">
        <v>59</v>
      </c>
    </row>
    <row r="12" spans="4:7" x14ac:dyDescent="0.25">
      <c r="D12" s="17" t="e">
        <f>LEFT(#REF!,2)&amp;"-"&amp;MID(#REF!,4,3)</f>
        <v>#REF!</v>
      </c>
      <c r="G12" t="s">
        <v>28</v>
      </c>
    </row>
    <row r="13" spans="4:7" x14ac:dyDescent="0.25">
      <c r="D13" s="17" t="e">
        <f>LEFT(#REF!,2)&amp;"-"&amp;MID(#REF!,4,3)</f>
        <v>#REF!</v>
      </c>
    </row>
    <row r="14" spans="4:7" x14ac:dyDescent="0.25">
      <c r="D14" s="17" t="e">
        <f>LEFT(#REF!,2)&amp;"-"&amp;MID(#REF!,4,3)</f>
        <v>#REF!</v>
      </c>
    </row>
    <row r="15" spans="4:7" x14ac:dyDescent="0.25">
      <c r="D15" s="17" t="e">
        <f>LEFT(#REF!,2)&amp;"-"&amp;MID(#REF!,4,3)</f>
        <v>#REF!</v>
      </c>
      <c r="G15" t="s">
        <v>28</v>
      </c>
    </row>
    <row r="16" spans="4:7" x14ac:dyDescent="0.25">
      <c r="D16" s="17" t="e">
        <f>LEFT(#REF!,2)&amp;"-"&amp;MID(#REF!,4,3)</f>
        <v>#REF!</v>
      </c>
      <c r="G16" t="s">
        <v>28</v>
      </c>
    </row>
    <row r="17" spans="4:7" x14ac:dyDescent="0.25">
      <c r="D17" s="17" t="e">
        <f>LEFT(#REF!,2)&amp;"-"&amp;MID(#REF!,4,3)</f>
        <v>#REF!</v>
      </c>
      <c r="G17" t="s">
        <v>75</v>
      </c>
    </row>
    <row r="18" spans="4:7" x14ac:dyDescent="0.25">
      <c r="D18" s="17" t="e">
        <f>LEFT(#REF!,2)&amp;"-"&amp;MID(#REF!,4,3)</f>
        <v>#REF!</v>
      </c>
      <c r="G18" t="s">
        <v>28</v>
      </c>
    </row>
    <row r="19" spans="4:7" x14ac:dyDescent="0.25">
      <c r="D19" s="17" t="e">
        <f>LEFT(#REF!,2)&amp;"-"&amp;MID(#REF!,4,3)</f>
        <v>#REF!</v>
      </c>
      <c r="G19" t="s">
        <v>28</v>
      </c>
    </row>
    <row r="20" spans="4:7" x14ac:dyDescent="0.25">
      <c r="D20" s="17" t="e">
        <f>LEFT(#REF!,2)&amp;"-"&amp;MID(#REF!,4,3)</f>
        <v>#REF!</v>
      </c>
      <c r="G20" t="s">
        <v>32</v>
      </c>
    </row>
    <row r="21" spans="4:7" x14ac:dyDescent="0.25">
      <c r="D21" s="17" t="e">
        <f>LEFT(#REF!,2)&amp;"-"&amp;MID(#REF!,4,3)</f>
        <v>#REF!</v>
      </c>
      <c r="G21" t="s">
        <v>59</v>
      </c>
    </row>
    <row r="22" spans="4:7" x14ac:dyDescent="0.25">
      <c r="D22" s="17" t="e">
        <f>LEFT(#REF!,2)&amp;"-"&amp;MID(#REF!,4,3)</f>
        <v>#REF!</v>
      </c>
      <c r="G22" t="s">
        <v>28</v>
      </c>
    </row>
    <row r="23" spans="4:7" x14ac:dyDescent="0.25">
      <c r="D23" s="17" t="e">
        <f>LEFT(#REF!,2)&amp;"-"&amp;MID(#REF!,4,3)</f>
        <v>#REF!</v>
      </c>
      <c r="G23" t="s">
        <v>36</v>
      </c>
    </row>
    <row r="24" spans="4:7" x14ac:dyDescent="0.25">
      <c r="D24" s="17" t="e">
        <f>LEFT(#REF!,2)&amp;"-"&amp;MID(#REF!,4,3)</f>
        <v>#REF!</v>
      </c>
    </row>
    <row r="25" spans="4:7" x14ac:dyDescent="0.25">
      <c r="D25" s="17" t="e">
        <f>LEFT(#REF!,2)&amp;"-"&amp;MID(#REF!,4,3)</f>
        <v>#REF!</v>
      </c>
      <c r="G25" t="s">
        <v>75</v>
      </c>
    </row>
    <row r="26" spans="4:7" x14ac:dyDescent="0.25">
      <c r="D26" s="17" t="e">
        <f>LEFT(#REF!,2)&amp;"-"&amp;MID(#REF!,4,3)</f>
        <v>#REF!</v>
      </c>
      <c r="G26" t="s">
        <v>28</v>
      </c>
    </row>
    <row r="27" spans="4:7" x14ac:dyDescent="0.25">
      <c r="D27" s="17" t="e">
        <f>LEFT(#REF!,2)&amp;"-"&amp;MID(#REF!,4,3)</f>
        <v>#REF!</v>
      </c>
      <c r="G27" t="s">
        <v>32</v>
      </c>
    </row>
    <row r="28" spans="4:7" x14ac:dyDescent="0.25">
      <c r="D28" s="17" t="e">
        <f>LEFT(#REF!,2)&amp;"-"&amp;MID(#REF!,4,3)</f>
        <v>#REF!</v>
      </c>
      <c r="G28" t="s">
        <v>36</v>
      </c>
    </row>
    <row r="29" spans="4:7" x14ac:dyDescent="0.25">
      <c r="D29" s="17" t="e">
        <f>LEFT(#REF!,2)&amp;"-"&amp;MID(#REF!,4,3)</f>
        <v>#REF!</v>
      </c>
      <c r="G29" t="s">
        <v>28</v>
      </c>
    </row>
    <row r="30" spans="4:7" x14ac:dyDescent="0.25">
      <c r="D30" s="17" t="e">
        <f>LEFT(#REF!,2)&amp;"-"&amp;MID(#REF!,4,3)</f>
        <v>#REF!</v>
      </c>
      <c r="G30" t="s">
        <v>32</v>
      </c>
    </row>
    <row r="31" spans="4:7" x14ac:dyDescent="0.25">
      <c r="D31" s="17" t="e">
        <f>LEFT(#REF!,2)&amp;"-"&amp;MID(#REF!,4,3)</f>
        <v>#REF!</v>
      </c>
      <c r="G31" t="s">
        <v>36</v>
      </c>
    </row>
    <row r="32" spans="4:7" x14ac:dyDescent="0.25">
      <c r="D32" s="17" t="e">
        <f>LEFT(#REF!,2)&amp;"-"&amp;MID(#REF!,4,3)</f>
        <v>#REF!</v>
      </c>
      <c r="G32" t="s">
        <v>28</v>
      </c>
    </row>
    <row r="33" spans="4:7" x14ac:dyDescent="0.25">
      <c r="D33" s="17" t="e">
        <f>LEFT(#REF!,2)&amp;"-"&amp;MID(#REF!,4,3)</f>
        <v>#REF!</v>
      </c>
      <c r="G33" t="s">
        <v>32</v>
      </c>
    </row>
    <row r="34" spans="4:7" x14ac:dyDescent="0.25">
      <c r="D34" s="17" t="e">
        <f>LEFT(#REF!,2)&amp;"-"&amp;MID(#REF!,4,3)</f>
        <v>#REF!</v>
      </c>
      <c r="G34" t="s">
        <v>28</v>
      </c>
    </row>
    <row r="35" spans="4:7" x14ac:dyDescent="0.25">
      <c r="D35" s="17" t="e">
        <f>LEFT(#REF!,2)&amp;"-"&amp;MID(#REF!,4,3)</f>
        <v>#REF!</v>
      </c>
      <c r="G35" t="s">
        <v>75</v>
      </c>
    </row>
    <row r="36" spans="4:7" x14ac:dyDescent="0.25">
      <c r="D36" s="17" t="e">
        <f>LEFT(#REF!,2)&amp;"-"&amp;MID(#REF!,4,3)</f>
        <v>#REF!</v>
      </c>
    </row>
    <row r="37" spans="4:7" x14ac:dyDescent="0.25">
      <c r="D37" s="17" t="e">
        <f>LEFT(#REF!,2)&amp;"-"&amp;MID(#REF!,4,3)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Dataset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Neha Varun</cp:lastModifiedBy>
  <dcterms:modified xsi:type="dcterms:W3CDTF">2026-10-16T12:48:29Z</dcterms:modified>
</cp:coreProperties>
</file>